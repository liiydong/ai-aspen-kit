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设计基础" sheetId="1" state="visible" r:id="rId1"/>
    <sheet xmlns:r="http://schemas.openxmlformats.org/officeDocument/2006/relationships" name="全流程反推" sheetId="2" state="visible" r:id="rId2"/>
    <sheet xmlns:r="http://schemas.openxmlformats.org/officeDocument/2006/relationships" name="物料衡算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0.000"/>
    <numFmt numFmtId="165" formatCode="#,##0.0"/>
    <numFmt numFmtId="166" formatCode="0.0"/>
    <numFmt numFmtId="167" formatCode="0.0000"/>
    <numFmt numFmtId="168" formatCode="+0.0000;-0.0000"/>
  </numFmts>
  <fonts count="4">
    <font>
      <name val="Calibri"/>
      <family val="2"/>
      <color theme="1"/>
      <sz val="11"/>
      <scheme val="minor"/>
    </font>
    <font>
      <name val="宋体"/>
      <b val="1"/>
      <sz val="11"/>
    </font>
    <font>
      <name val="宋体"/>
      <sz val="11"/>
    </font>
    <font>
      <name val="宋体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FFE699"/>
      </patternFill>
    </fill>
  </fills>
  <borders count="2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0" fontId="1" fillId="3" borderId="1" applyAlignment="1" pivotButton="0" quotePrefix="0" xfId="0">
      <alignment horizontal="center" vertical="center" wrapText="1"/>
    </xf>
    <xf numFmtId="164" fontId="1" fillId="3" borderId="1" applyAlignment="1" pivotButton="0" quotePrefix="0" xfId="0">
      <alignment horizontal="right" vertical="center"/>
    </xf>
    <xf numFmtId="165" fontId="1" fillId="3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166" fontId="1" fillId="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cols>
    <col width="18" customWidth="1" min="1" max="1"/>
    <col width="32" customWidth="1" min="2" max="2"/>
    <col width="18" customWidth="1" min="3" max="3"/>
    <col width="60" customWidth="1" min="4" max="4"/>
  </cols>
  <sheetData>
    <row r="1" ht="26" customHeight="1">
      <c r="A1" s="1" t="inlineStr">
        <is>
          <t>年产10000吨烟酰胺·化学法版·设计基础</t>
        </is>
      </c>
    </row>
    <row r="2">
      <c r="A2" s="2" t="inlineStr">
        <is>
          <t>一、生产规模</t>
        </is>
      </c>
    </row>
    <row r="3">
      <c r="A3" s="3" t="inlineStr">
        <is>
          <t>产品名称</t>
        </is>
      </c>
      <c r="B3" s="4" t="inlineStr">
        <is>
          <t>烟酰胺（Niacinamide, VB3）</t>
        </is>
      </c>
      <c r="D3" s="3" t="inlineStr">
        <is>
          <t>CAS 98-92-0</t>
        </is>
      </c>
    </row>
    <row r="4">
      <c r="A4" s="3" t="inlineStr">
        <is>
          <t>产品规模</t>
        </is>
      </c>
      <c r="B4" s="4" t="inlineStr">
        <is>
          <t>10000 t/a（年工作 300 d、7200 h）</t>
        </is>
      </c>
      <c r="D4" s="3" t="inlineStr">
        <is>
          <t>工业常规 8000 h；本设计保守取 7200 h</t>
        </is>
      </c>
    </row>
    <row r="5">
      <c r="A5" s="3" t="inlineStr">
        <is>
          <t>产品年产量</t>
        </is>
      </c>
      <c r="B5" s="4" t="n">
        <v>10000</v>
      </c>
      <c r="C5" s="5" t="inlineStr">
        <is>
          <t>t/a</t>
        </is>
      </c>
      <c r="D5" s="3" t="inlineStr">
        <is>
          <t>商品量折 99.5% 含量</t>
        </is>
      </c>
    </row>
    <row r="6">
      <c r="A6" s="3" t="inlineStr">
        <is>
          <t>产品小时产量</t>
        </is>
      </c>
      <c r="B6" s="4">
        <f>B5*1000/7200</f>
        <v/>
      </c>
      <c r="C6" s="5" t="inlineStr">
        <is>
          <t>kg/h</t>
        </is>
      </c>
      <c r="D6" s="3">
        <f> 10000×10³/7200 = 1388.9 kg/h</f>
        <v/>
      </c>
    </row>
    <row r="7">
      <c r="A7" s="3" t="inlineStr">
        <is>
          <t>产品摩尔流量</t>
        </is>
      </c>
      <c r="B7" s="4">
        <f>B6/122.13</f>
        <v/>
      </c>
      <c r="C7" s="5" t="inlineStr">
        <is>
          <t>kmol/h</t>
        </is>
      </c>
      <c r="D7" s="3" t="inlineStr">
        <is>
          <t>M(NAM)=122.13</t>
        </is>
      </c>
    </row>
    <row r="8">
      <c r="A8" s="3" t="inlineStr">
        <is>
          <t>收率链总收率</t>
        </is>
      </c>
      <c r="B8" s="4" t="n">
        <v>0.82245</v>
      </c>
      <c r="C8" s="5" t="inlineStr">
        <is>
          <t>—</t>
        </is>
      </c>
      <c r="D8" s="3" t="inlineStr">
        <is>
          <t>0.88×0.998×0.995×0.98×0.99×0.97</t>
        </is>
      </c>
    </row>
    <row r="9">
      <c r="A9" s="3" t="inlineStr"/>
    </row>
    <row r="10">
      <c r="A10" s="2" t="inlineStr">
        <is>
          <t>二、原料规格</t>
        </is>
      </c>
    </row>
    <row r="11">
      <c r="A11" s="3" t="inlineStr">
        <is>
          <t>3-甲基吡啶</t>
        </is>
      </c>
      <c r="B11" s="4" t="inlineStr">
        <is>
          <t>99.0% 工业品</t>
        </is>
      </c>
      <c r="D11" s="3" t="inlineStr">
        <is>
          <t>CAS 108-99-6；M=93.13</t>
        </is>
      </c>
    </row>
    <row r="12">
      <c r="A12" s="3" t="inlineStr">
        <is>
          <t>液氨</t>
        </is>
      </c>
      <c r="B12" s="4" t="inlineStr">
        <is>
          <t>99.9%</t>
        </is>
      </c>
      <c r="D12" s="3" t="inlineStr">
        <is>
          <t>CAS 7664-41-7；M=17.03</t>
        </is>
      </c>
    </row>
    <row r="13">
      <c r="A13" s="3" t="inlineStr">
        <is>
          <t>空气</t>
        </is>
      </c>
      <c r="B13" s="4" t="inlineStr">
        <is>
          <t>0.04 MPa(g)</t>
        </is>
      </c>
      <c r="D13" s="3" t="inlineStr">
        <is>
          <t>O2:N2=21:79</t>
        </is>
      </c>
    </row>
    <row r="14">
      <c r="A14" s="3" t="inlineStr">
        <is>
          <t>甲苯（萃取剂）</t>
        </is>
      </c>
      <c r="B14" s="4" t="inlineStr">
        <is>
          <t>工业级</t>
        </is>
      </c>
      <c r="D14" s="3" t="inlineStr">
        <is>
          <t>CAS 108-88-3；M=92.14</t>
        </is>
      </c>
    </row>
    <row r="15">
      <c r="A15" s="3" t="inlineStr">
        <is>
          <t>氢氧化钠（片碱）</t>
        </is>
      </c>
      <c r="B15" s="4" t="inlineStr">
        <is>
          <t>96% 工业片碱</t>
        </is>
      </c>
      <c r="D15" s="3" t="inlineStr">
        <is>
          <t>CAS 1310-73-2；M=40.00</t>
        </is>
      </c>
    </row>
    <row r="16">
      <c r="A16" s="3" t="inlineStr">
        <is>
          <t>硫酸（中和用）</t>
        </is>
      </c>
      <c r="B16" s="4" t="inlineStr">
        <is>
          <t>98% 浓硫酸</t>
        </is>
      </c>
      <c r="D16" s="3" t="inlineStr">
        <is>
          <t>CAS 7664-93-9</t>
        </is>
      </c>
    </row>
    <row r="17">
      <c r="A17" s="3" t="inlineStr">
        <is>
          <t>活性炭</t>
        </is>
      </c>
      <c r="B17" s="4" t="inlineStr">
        <is>
          <t>工业级</t>
        </is>
      </c>
      <c r="D17" s="3" t="inlineStr">
        <is>
          <t>CAS 7440-44-0 / 64365-11-3</t>
        </is>
      </c>
    </row>
    <row r="18">
      <c r="A18" s="3" t="inlineStr">
        <is>
          <t>去离子水</t>
        </is>
      </c>
      <c r="B18" s="4" t="inlineStr">
        <is>
          <t>电导率≤5 μS/cm</t>
        </is>
      </c>
      <c r="D18" s="3" t="inlineStr">
        <is>
          <t>用于水解配液、塔顶吸收</t>
        </is>
      </c>
    </row>
    <row r="19">
      <c r="A19" s="3" t="inlineStr"/>
    </row>
    <row r="20">
      <c r="A20" s="2" t="inlineStr">
        <is>
          <t>三、工艺路线</t>
        </is>
      </c>
    </row>
    <row r="21">
      <c r="A21" s="3" t="inlineStr">
        <is>
          <t>水解方法</t>
        </is>
      </c>
      <c r="B21" s="4" t="inlineStr">
        <is>
          <t>化学法（NaOH 催化，130~150℃）</t>
        </is>
      </c>
      <c r="D21" s="3" t="inlineStr">
        <is>
          <t>Ullmann 法；副产烟酸 ≤0.5%</t>
        </is>
      </c>
    </row>
    <row r="22">
      <c r="A22" s="3" t="inlineStr">
        <is>
          <t>后处理</t>
        </is>
      </c>
      <c r="B22" s="4" t="inlineStr">
        <is>
          <t>中和→脱色→蒸发→结晶→离心→干燥</t>
        </is>
      </c>
      <c r="D22" s="3" t="inlineStr">
        <is>
          <t>六步完成</t>
        </is>
      </c>
    </row>
    <row r="23">
      <c r="A23" s="3" t="inlineStr">
        <is>
          <t>Aspen 模拟范围</t>
        </is>
      </c>
      <c r="B23" s="4" t="inlineStr">
        <is>
          <t>R-101→T-201→T-301→T-401~404→R-501→E-601</t>
        </is>
      </c>
      <c r="D23" s="3" t="inlineStr">
        <is>
          <t>结晶/离心/干燥手算</t>
        </is>
      </c>
    </row>
    <row r="24">
      <c r="A24" s="3" t="inlineStr"/>
    </row>
    <row r="25">
      <c r="A25" s="2" t="inlineStr">
        <is>
          <t>四、关键工艺参数</t>
        </is>
      </c>
    </row>
    <row r="26">
      <c r="A26" s="3" t="inlineStr">
        <is>
          <t>氨氧化温度/压力</t>
        </is>
      </c>
      <c r="B26" s="4" t="inlineStr">
        <is>
          <t>405℃ / 0.18 MPa</t>
        </is>
      </c>
      <c r="D26" s="3" t="inlineStr">
        <is>
          <t>CN121021387A 实施例5</t>
        </is>
      </c>
    </row>
    <row r="27">
      <c r="A27" s="3" t="inlineStr">
        <is>
          <t>化学水解温度/压力</t>
        </is>
      </c>
      <c r="B27" s="4" t="inlineStr">
        <is>
          <t>140℃ / 0.4 MPa</t>
        </is>
      </c>
      <c r="D27" s="3" t="inlineStr">
        <is>
          <t>中等碱性；过度水解≤0.5%</t>
        </is>
      </c>
    </row>
    <row r="28">
      <c r="A28" s="3" t="inlineStr">
        <is>
          <t>T-401 脱甲苯塔</t>
        </is>
      </c>
      <c r="B28" s="4" t="inlineStr">
        <is>
          <t>70℃ / 0.24 bar</t>
        </is>
      </c>
      <c r="D28" s="3" t="inlineStr">
        <is>
          <t>低沸点甲苯先脱</t>
        </is>
      </c>
    </row>
    <row r="29">
      <c r="A29" s="3" t="inlineStr">
        <is>
          <t>T-404 3-CP 塔</t>
        </is>
      </c>
      <c r="B29" s="4" t="inlineStr">
        <is>
          <t>153.5℃ / 0.3 bar</t>
        </is>
      </c>
      <c r="D29" s="3" t="inlineStr">
        <is>
          <t>产品塔</t>
        </is>
      </c>
    </row>
    <row r="30">
      <c r="A30" s="3" t="inlineStr">
        <is>
          <t>T-403 4-CP 塔</t>
        </is>
      </c>
      <c r="B30" s="4" t="inlineStr">
        <is>
          <t>148.8℃ / 0.4 bar</t>
        </is>
      </c>
      <c r="D30" s="3" t="inlineStr">
        <is>
          <t>副产 4-CP 分离</t>
        </is>
      </c>
    </row>
    <row r="31">
      <c r="A31" s="3" t="inlineStr">
        <is>
          <t>水汽比 氧/3-MP</t>
        </is>
      </c>
      <c r="B31" s="4" t="n">
        <v>2.91</v>
      </c>
      <c r="C31" s="5" t="inlineStr">
        <is>
          <t>—</t>
        </is>
      </c>
      <c r="D31" s="3" t="inlineStr">
        <is>
          <t>瑞邦实测</t>
        </is>
      </c>
    </row>
    <row r="32">
      <c r="A32" s="3" t="inlineStr">
        <is>
          <t>循环氨回收率</t>
        </is>
      </c>
      <c r="B32" s="4" t="n">
        <v>0.9</v>
      </c>
      <c r="C32" s="5" t="inlineStr">
        <is>
          <t>—</t>
        </is>
      </c>
      <c r="D32" s="3" t="inlineStr">
        <is>
          <t>冷凝后循环回反应器</t>
        </is>
      </c>
    </row>
    <row r="33">
      <c r="A33" s="3" t="inlineStr">
        <is>
          <t>NaOH 用量</t>
        </is>
      </c>
      <c r="B33" s="4" t="n">
        <v>0.26</v>
      </c>
      <c r="C33" s="5" t="inlineStr">
        <is>
          <t>kg/t</t>
        </is>
      </c>
      <c r="D33" s="3" t="inlineStr">
        <is>
          <t>Ullmann 催化剂量</t>
        </is>
      </c>
    </row>
    <row r="34">
      <c r="A34" s="3" t="inlineStr">
        <is>
          <t>活性炭用量</t>
        </is>
      </c>
      <c r="B34" s="4" t="n">
        <v>0.47</v>
      </c>
      <c r="C34" s="5" t="inlineStr">
        <is>
          <t>kg/t</t>
        </is>
      </c>
      <c r="D34" s="3" t="inlineStr">
        <is>
          <t>河北冠润环评实测</t>
        </is>
      </c>
    </row>
    <row r="35">
      <c r="A35" s="3" t="inlineStr">
        <is>
          <t>水/3-CP 配比</t>
        </is>
      </c>
      <c r="B35" s="4" t="inlineStr">
        <is>
          <t>70/30</t>
        </is>
      </c>
      <c r="C35" s="5" t="inlineStr">
        <is>
          <t>—</t>
        </is>
      </c>
      <c r="D35" s="3" t="inlineStr">
        <is>
          <t>水解液 3-CP 浓度 30 wt%</t>
        </is>
      </c>
    </row>
    <row r="36">
      <c r="A36" s="3" t="inlineStr">
        <is>
          <t>进料氨比（反应器）</t>
        </is>
      </c>
      <c r="B36" s="4" t="n">
        <v>2.5</v>
      </c>
      <c r="C36" s="5" t="inlineStr">
        <is>
          <t>mol/mol</t>
        </is>
      </c>
      <c r="D36" s="3" t="inlineStr">
        <is>
          <t>新专利 4~6；本设计工业实测 2.5</t>
        </is>
      </c>
    </row>
    <row r="37">
      <c r="A37" s="3" t="inlineStr"/>
    </row>
    <row r="38">
      <c r="A38" s="2" t="inlineStr">
        <is>
          <t>五、产物规格</t>
        </is>
      </c>
    </row>
    <row r="39">
      <c r="A39" s="3" t="inlineStr">
        <is>
          <t>产品纯度</t>
        </is>
      </c>
      <c r="B39" s="4" t="inlineStr">
        <is>
          <t>≥99.5%</t>
        </is>
      </c>
      <c r="D39" s="3" t="inlineStr">
        <is>
          <t>GB 14757-2010</t>
        </is>
      </c>
    </row>
    <row r="40">
      <c r="A40" s="3" t="inlineStr">
        <is>
          <t>水分（K-F）</t>
        </is>
      </c>
      <c r="B40" s="4" t="inlineStr">
        <is>
          <t>≤0.5%</t>
        </is>
      </c>
    </row>
    <row r="41">
      <c r="A41" s="3" t="inlineStr">
        <is>
          <t>重金属（Pb）</t>
        </is>
      </c>
      <c r="B41" s="4" t="inlineStr">
        <is>
          <t>≤10 mg/kg</t>
        </is>
      </c>
      <c r="D41" s="3" t="inlineStr">
        <is>
          <t>医药级</t>
        </is>
      </c>
    </row>
    <row r="42">
      <c r="A42" s="3" t="inlineStr">
        <is>
          <t>灼烧残渣</t>
        </is>
      </c>
      <c r="B42" s="4" t="inlineStr">
        <is>
          <t>≤0.1%</t>
        </is>
      </c>
      <c r="D42" s="3" t="inlineStr">
        <is>
          <t>医药级</t>
        </is>
      </c>
    </row>
    <row r="43">
      <c r="A43" s="3" t="inlineStr"/>
    </row>
    <row r="44">
      <c r="A44" s="2" t="inlineStr">
        <is>
          <t>六、收率分项</t>
        </is>
      </c>
    </row>
    <row r="45">
      <c r="A45" s="3" t="inlineStr">
        <is>
          <t>① 氨氧化</t>
        </is>
      </c>
      <c r="B45" s="4" t="n">
        <v>0.88</v>
      </c>
      <c r="C45" s="5" t="inlineStr">
        <is>
          <t>—</t>
        </is>
      </c>
      <c r="D45" s="3" t="inlineStr">
        <is>
          <t>瑞邦 2016 验收实测</t>
        </is>
      </c>
    </row>
    <row r="46">
      <c r="A46" s="3" t="inlineStr">
        <is>
          <t>② 吸收</t>
        </is>
      </c>
      <c r="B46" s="4" t="n">
        <v>0.998</v>
      </c>
      <c r="C46" s="5" t="inlineStr">
        <is>
          <t>—</t>
        </is>
      </c>
      <c r="D46" s="3" t="inlineStr">
        <is>
          <t>瑞邦实测</t>
        </is>
      </c>
    </row>
    <row r="47">
      <c r="A47" s="3" t="inlineStr">
        <is>
          <t>③ 萃取</t>
        </is>
      </c>
      <c r="B47" s="4" t="n">
        <v>0.995</v>
      </c>
      <c r="C47" s="5" t="inlineStr">
        <is>
          <t>—</t>
        </is>
      </c>
      <c r="D47" s="3" t="inlineStr">
        <is>
          <t>瑞邦实测</t>
        </is>
      </c>
    </row>
    <row r="48">
      <c r="A48" s="3" t="inlineStr">
        <is>
          <t>④ 精馏（T-401~404合计）</t>
        </is>
      </c>
      <c r="B48" s="4" t="n">
        <v>0.98</v>
      </c>
      <c r="C48" s="5" t="inlineStr">
        <is>
          <t>—</t>
        </is>
      </c>
      <c r="D48" s="3" t="inlineStr">
        <is>
          <t>塔顶 3-CP 99.5%</t>
        </is>
      </c>
    </row>
    <row r="49">
      <c r="A49" s="3" t="inlineStr">
        <is>
          <t>⑤ 化学水解</t>
        </is>
      </c>
      <c r="B49" s="4" t="n">
        <v>0.99</v>
      </c>
      <c r="C49" s="5" t="inlineStr">
        <is>
          <t>—</t>
        </is>
      </c>
      <c r="D49" s="3" t="inlineStr">
        <is>
          <t>Ullmann；烟酸副产 0.5%</t>
        </is>
      </c>
    </row>
    <row r="50">
      <c r="A50" s="3" t="inlineStr">
        <is>
          <t>⑦ 精制（结晶+离心+干燥）</t>
        </is>
      </c>
      <c r="B50" s="4" t="n">
        <v>0.97</v>
      </c>
      <c r="C50" s="5" t="inlineStr">
        <is>
          <t>—</t>
        </is>
      </c>
      <c r="D50" s="3" t="inlineStr">
        <is>
          <t>母液部分返回循环</t>
        </is>
      </c>
    </row>
    <row r="51">
      <c r="A51" s="3" t="inlineStr">
        <is>
          <t>总收率</t>
        </is>
      </c>
      <c r="B51" s="4">
        <f>B40*B42*B43*B44*B45*B46</f>
        <v/>
      </c>
      <c r="C51" s="5" t="inlineStr">
        <is>
          <t>—</t>
        </is>
      </c>
      <c r="D51" s="3">
        <f> 0.88×0.998×0.995×0.98×0.99×0.97 = 82.2454%</f>
        <v/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12" customWidth="1" min="3" max="3"/>
    <col width="14" customWidth="1" min="4" max="4"/>
    <col width="14" customWidth="1" min="5" max="5"/>
    <col width="14" customWidth="1" min="6" max="6"/>
    <col width="50" customWidth="1" min="7" max="7"/>
  </cols>
  <sheetData>
    <row r="1" ht="26" customHeight="1">
      <c r="A1" s="1" t="inlineStr">
        <is>
          <t>全流程逐级反推（产品 10000 t/a → 起始原料）</t>
        </is>
      </c>
    </row>
    <row r="2" ht="22" customHeight="1">
      <c r="A2" s="6" t="inlineStr"/>
      <c r="B2" s="6" t="inlineStr">
        <is>
          <t>工段</t>
        </is>
      </c>
      <c r="C2" s="6" t="inlineStr">
        <is>
          <t>η</t>
        </is>
      </c>
      <c r="D2" s="6" t="inlineStr">
        <is>
          <t>kmol/h</t>
        </is>
      </c>
      <c r="E2" s="6" t="inlineStr">
        <is>
          <t>kg/h</t>
        </is>
      </c>
      <c r="F2" s="6" t="inlineStr">
        <is>
          <t>t/a</t>
        </is>
      </c>
      <c r="G2" s="6" t="inlineStr">
        <is>
          <t>备注</t>
        </is>
      </c>
    </row>
    <row r="3">
      <c r="A3" s="5" t="inlineStr"/>
      <c r="B3" s="3" t="inlineStr">
        <is>
          <t>⑩ 烟酰胺成品</t>
        </is>
      </c>
      <c r="C3" s="7" t="n">
        <v>1</v>
      </c>
      <c r="D3" s="7" t="n">
        <v>11.37221721844665</v>
      </c>
      <c r="E3" s="8" t="n">
        <v>1388.888888888889</v>
      </c>
      <c r="F3" s="8" t="n">
        <v>10000</v>
      </c>
      <c r="G3" s="3" t="inlineStr">
        <is>
          <t>产品线 10000 t/a</t>
        </is>
      </c>
    </row>
    <row r="4">
      <c r="A4" s="5" t="inlineStr"/>
      <c r="B4" s="3" t="inlineStr">
        <is>
          <t>⑦ 精制（结晶+离心+干燥）</t>
        </is>
      </c>
      <c r="C4" s="7" t="n">
        <v>0.97</v>
      </c>
      <c r="D4" s="7" t="n">
        <v>11.37221721844665</v>
      </c>
      <c r="E4" s="8" t="n">
        <v>1388.888888888889</v>
      </c>
      <c r="F4" s="8" t="n">
        <v>10000</v>
      </c>
      <c r="G4" s="3" t="inlineStr">
        <is>
          <t>母液部分返回循环</t>
        </is>
      </c>
    </row>
    <row r="5">
      <c r="A5" s="5" t="inlineStr"/>
      <c r="B5" s="3" t="inlineStr">
        <is>
          <t>⑤ 化学水解（130~150℃）</t>
        </is>
      </c>
      <c r="C5" s="7" t="n">
        <v>0.99</v>
      </c>
      <c r="D5" s="7" t="n">
        <v>11.72393527674912</v>
      </c>
      <c r="E5" s="8" t="n">
        <v>1431.84421534937</v>
      </c>
      <c r="F5" s="8" t="n">
        <v>10309.27835051546</v>
      </c>
      <c r="G5" s="3" t="inlineStr">
        <is>
          <t>NaOH 催化；副产烟酸 0.5%</t>
        </is>
      </c>
    </row>
    <row r="6">
      <c r="A6" s="5" t="inlineStr"/>
      <c r="B6" s="3" t="inlineStr">
        <is>
          <t>④ 精馏（T-401~404）</t>
        </is>
      </c>
      <c r="C6" s="7" t="n">
        <v>0.98</v>
      </c>
      <c r="D6" s="7" t="n">
        <v>11.84235886540315</v>
      </c>
      <c r="E6" s="8" t="n">
        <v>1232.907981477122</v>
      </c>
      <c r="F6" s="8" t="n">
        <v>8876.93746663528</v>
      </c>
      <c r="G6" s="3" t="inlineStr">
        <is>
          <t>塔顶 3-CP 99.5%</t>
        </is>
      </c>
    </row>
    <row r="7">
      <c r="A7" s="5" t="inlineStr"/>
      <c r="B7" s="3" t="inlineStr">
        <is>
          <t>③ 萃取（甲苯-水）</t>
        </is>
      </c>
      <c r="C7" s="7" t="n">
        <v>0.995</v>
      </c>
      <c r="D7" s="7" t="n">
        <v>12.08403965857465</v>
      </c>
      <c r="E7" s="8" t="n">
        <v>1258.069368854206</v>
      </c>
      <c r="F7" s="8" t="n">
        <v>9058.099455750287</v>
      </c>
      <c r="G7" s="3" t="inlineStr">
        <is>
          <t>甲苯作萃取剂</t>
        </is>
      </c>
    </row>
    <row r="8">
      <c r="A8" s="5" t="inlineStr"/>
      <c r="B8" s="3" t="inlineStr">
        <is>
          <t>② 吸收（去离子水）</t>
        </is>
      </c>
      <c r="C8" s="7" t="n">
        <v>0.998</v>
      </c>
      <c r="D8" s="7" t="n">
        <v>12.14476347595442</v>
      </c>
      <c r="E8" s="8" t="n">
        <v>1264.391325481615</v>
      </c>
      <c r="F8" s="8" t="n">
        <v>9103.617543467624</v>
      </c>
      <c r="G8" s="3" t="inlineStr">
        <is>
          <t>尾气 G₁₋₁ 夹带 0.2%</t>
        </is>
      </c>
    </row>
    <row r="9">
      <c r="A9" s="5" t="inlineStr"/>
      <c r="B9" s="3" t="inlineStr">
        <is>
          <t>① 氨氧化（固定床 405℃）</t>
        </is>
      </c>
      <c r="C9" s="7" t="n">
        <v>0.88</v>
      </c>
      <c r="D9" s="7" t="n">
        <v>12.16910167931304</v>
      </c>
      <c r="E9" s="8" t="n">
        <v>1133.308439394424</v>
      </c>
      <c r="F9" s="8" t="n">
        <v>8159.820763639852</v>
      </c>
      <c r="G9" s="3" t="inlineStr">
        <is>
          <t>瑞邦实测 88%</t>
        </is>
      </c>
    </row>
    <row r="10">
      <c r="A10" s="9" t="inlineStr">
        <is>
          <t>★</t>
        </is>
      </c>
      <c r="B10" s="2" t="inlineStr">
        <is>
          <t>3-甲基吡啶需求（折纯）</t>
        </is>
      </c>
      <c r="C10" s="9" t="inlineStr">
        <is>
          <t>—</t>
        </is>
      </c>
      <c r="D10" s="10" t="n">
        <v>13.828524635583</v>
      </c>
      <c r="E10" s="11" t="n">
        <v>1287.850499311845</v>
      </c>
      <c r="F10" s="11" t="n">
        <v>9272.523595045286</v>
      </c>
      <c r="G10" s="2" t="inlineStr">
        <is>
          <t>按 99% 含量折商品量 ≈ ÷0.99</t>
        </is>
      </c>
    </row>
    <row r="11">
      <c r="A11" s="9" t="inlineStr">
        <is>
          <t>★</t>
        </is>
      </c>
      <c r="B11" s="2" t="inlineStr">
        <is>
          <t>3-氰基吡啶需求（中间体）</t>
        </is>
      </c>
      <c r="C11" s="9" t="inlineStr">
        <is>
          <t>—</t>
        </is>
      </c>
      <c r="D11" s="10" t="n">
        <v>11.84235886540315</v>
      </c>
      <c r="E11" s="11" t="n">
        <v>1232.907981477122</v>
      </c>
      <c r="F11" s="11" t="n">
        <v>8876.93746663528</v>
      </c>
      <c r="G11" s="2" t="inlineStr">
        <is>
          <t>水解工段入口</t>
        </is>
      </c>
    </row>
    <row r="12">
      <c r="A12" s="5" t="inlineStr"/>
      <c r="B12" s="3" t="inlineStr">
        <is>
          <t>水解液总量（30% 3-CP）</t>
        </is>
      </c>
      <c r="C12" s="5" t="inlineStr">
        <is>
          <t>—</t>
        </is>
      </c>
      <c r="D12" s="12" t="n">
        <v>228.0628896554055</v>
      </c>
      <c r="E12" s="8" t="n">
        <v>4109.693271590408</v>
      </c>
      <c r="F12" s="8" t="n">
        <v>29589.79155545093</v>
      </c>
      <c r="G12" s="3" t="inlineStr">
        <is>
          <t>水/3-CP = 70/30</t>
        </is>
      </c>
    </row>
    <row r="13">
      <c r="A13" s="5" t="inlineStr"/>
      <c r="B13" s="3" t="inlineStr">
        <is>
          <t>三效蒸发水量（50% 浓缩）</t>
        </is>
      </c>
      <c r="C13" s="5" t="inlineStr">
        <is>
          <t>—</t>
        </is>
      </c>
      <c r="D13" s="12" t="n">
        <v>73.9119462591791</v>
      </c>
      <c r="E13" s="8" t="n">
        <v>1331.893271590407</v>
      </c>
      <c r="F13" s="8" t="n">
        <v>9589.631555450933</v>
      </c>
      <c r="G13" s="3" t="inlineStr">
        <is>
          <t>蒸发水量；生蒸汽 1693 kg/h</t>
        </is>
      </c>
    </row>
    <row r="15">
      <c r="A15" s="9" t="inlineStr"/>
      <c r="B15" s="2" t="inlineStr">
        <is>
          <t>★ 化学法 vs 酶法 对照</t>
        </is>
      </c>
    </row>
    <row r="16">
      <c r="B16" s="1" t="inlineStr">
        <is>
          <t>项目</t>
        </is>
      </c>
      <c r="C16" s="1" t="inlineStr">
        <is>
          <t>化学法</t>
        </is>
      </c>
      <c r="D16" s="1" t="inlineStr">
        <is>
          <t>酶法</t>
        </is>
      </c>
      <c r="E16" s="1" t="inlineStr">
        <is>
          <t>差值</t>
        </is>
      </c>
      <c r="F16" s="1" t="inlineStr">
        <is>
          <t>单位</t>
        </is>
      </c>
      <c r="G16" s="1" t="inlineStr">
        <is>
          <t>原因</t>
        </is>
      </c>
    </row>
    <row r="17">
      <c r="A17" s="5" t="inlineStr"/>
      <c r="B17" s="3" t="inlineStr">
        <is>
          <t>总收率</t>
        </is>
      </c>
      <c r="C17" s="13" t="n">
        <v>0.8225</v>
      </c>
      <c r="D17" s="13" t="n">
        <v>0.8521</v>
      </c>
      <c r="E17" s="14" t="n">
        <v>-0.02959999999999996</v>
      </c>
      <c r="F17" s="5" t="inlineStr">
        <is>
          <t>—</t>
        </is>
      </c>
      <c r="G17" s="3" t="inlineStr">
        <is>
          <t>化学法精制仅 0.97</t>
        </is>
      </c>
    </row>
    <row r="18">
      <c r="A18" s="5" t="inlineStr"/>
      <c r="B18" s="3" t="inlineStr">
        <is>
          <t>3-MP 折纯 t/a</t>
        </is>
      </c>
      <c r="C18" s="13" t="n">
        <v>9275.200000000001</v>
      </c>
      <c r="D18" s="13" t="n">
        <v>8949.1</v>
      </c>
      <c r="E18" s="14" t="n">
        <v>326.1000000000004</v>
      </c>
      <c r="F18" s="5" t="inlineStr">
        <is>
          <t>t/a</t>
        </is>
      </c>
      <c r="G18" s="3" t="inlineStr">
        <is>
          <t>收率低 3 个百分点</t>
        </is>
      </c>
    </row>
    <row r="19">
      <c r="A19" s="5" t="inlineStr"/>
      <c r="B19" s="3" t="inlineStr">
        <is>
          <t>3-MP 商品量 t/a（99%）</t>
        </is>
      </c>
      <c r="C19" s="13" t="n">
        <v>9368.9</v>
      </c>
      <c r="D19" s="13" t="n">
        <v>9039.5</v>
      </c>
      <c r="E19" s="14" t="n">
        <v>329.3999999999996</v>
      </c>
      <c r="F19" s="5" t="inlineStr">
        <is>
          <t>t/a</t>
        </is>
      </c>
      <c r="G19" s="3" t="inlineStr">
        <is>
          <t>折纯÷0.99</t>
        </is>
      </c>
    </row>
    <row r="20">
      <c r="A20" s="5" t="inlineStr"/>
      <c r="B20" s="3" t="inlineStr">
        <is>
          <t>3-MP 单耗 kg/t</t>
        </is>
      </c>
      <c r="C20" s="13" t="n">
        <v>936.89</v>
      </c>
      <c r="D20" s="13" t="n">
        <v>903.95</v>
      </c>
      <c r="E20" s="14" t="n">
        <v>32.93999999999994</v>
      </c>
      <c r="F20" s="5" t="inlineStr">
        <is>
          <t>kg/t</t>
        </is>
      </c>
      <c r="G20" s="3" t="inlineStr">
        <is>
          <t>比酶法高 32.9 kg/t</t>
        </is>
      </c>
    </row>
    <row r="21">
      <c r="A21" s="5" t="inlineStr"/>
      <c r="B21" s="3" t="inlineStr">
        <is>
          <t>NaOH kg/t</t>
        </is>
      </c>
      <c r="C21" s="13" t="n">
        <v>0.26</v>
      </c>
      <c r="D21" s="13" t="n">
        <v>0</v>
      </c>
      <c r="E21" s="14" t="n">
        <v>0.26</v>
      </c>
      <c r="F21" s="5" t="inlineStr">
        <is>
          <t>kg/t</t>
        </is>
      </c>
      <c r="G21" s="3" t="inlineStr">
        <is>
          <t>化学法需加碱催化</t>
        </is>
      </c>
    </row>
    <row r="22">
      <c r="A22" s="5" t="inlineStr"/>
      <c r="B22" s="3" t="inlineStr">
        <is>
          <t>活性炭 kg/t</t>
        </is>
      </c>
      <c r="C22" s="13" t="n">
        <v>0.47</v>
      </c>
      <c r="D22" s="13" t="n">
        <v>4.81</v>
      </c>
      <c r="E22" s="14" t="n">
        <v>-4.34</v>
      </c>
      <c r="F22" s="5" t="inlineStr">
        <is>
          <t>kg/t</t>
        </is>
      </c>
      <c r="G22" s="3" t="inlineStr">
        <is>
          <t>酶法用超滤+喷雾+脱色多耗</t>
        </is>
      </c>
    </row>
    <row r="23">
      <c r="A23" s="5" t="inlineStr"/>
      <c r="B23" s="3" t="inlineStr">
        <is>
          <t>水解温度</t>
        </is>
      </c>
      <c r="C23" s="13" t="n">
        <v>140</v>
      </c>
      <c r="D23" s="13" t="n">
        <v>20</v>
      </c>
      <c r="E23" s="14" t="n">
        <v>120</v>
      </c>
      <c r="F23" s="5" t="inlineStr">
        <is>
          <t>℃</t>
        </is>
      </c>
      <c r="G23" s="3" t="inlineStr">
        <is>
          <t>高温 vs 室温</t>
        </is>
      </c>
    </row>
    <row r="24">
      <c r="A24" s="5" t="inlineStr"/>
      <c r="B24" s="3" t="inlineStr">
        <is>
          <t>水解工段数</t>
        </is>
      </c>
      <c r="C24" s="5" t="inlineStr">
        <is>
          <t>3</t>
        </is>
      </c>
      <c r="D24" s="5" t="inlineStr">
        <is>
          <t>2</t>
        </is>
      </c>
      <c r="E24" s="5" t="inlineStr"/>
      <c r="F24" s="5" t="inlineStr">
        <is>
          <t>—</t>
        </is>
      </c>
      <c r="G24" s="3" t="inlineStr">
        <is>
          <t>化学法流程长</t>
        </is>
      </c>
    </row>
    <row r="25">
      <c r="A25" s="5" t="inlineStr"/>
      <c r="B25" s="3" t="inlineStr">
        <is>
          <t>副产烟酸 kg/t</t>
        </is>
      </c>
      <c r="C25" s="13" t="n">
        <v>0.73</v>
      </c>
      <c r="D25" s="13" t="n">
        <v>0</v>
      </c>
      <c r="E25" s="14" t="n">
        <v>0.73</v>
      </c>
      <c r="F25" s="5" t="inlineStr">
        <is>
          <t>kg/t</t>
        </is>
      </c>
      <c r="G25" s="3" t="inlineStr">
        <is>
          <t>过度水解 0.5%</t>
        </is>
      </c>
    </row>
  </sheetData>
  <mergeCells count="2">
    <mergeCell ref="B15:G15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14" customWidth="1" min="3" max="3"/>
    <col width="14" customWidth="1" min="4" max="4"/>
    <col width="14" customWidth="1" min="5" max="5"/>
    <col width="50" customWidth="1" min="6" max="6"/>
  </cols>
  <sheetData>
    <row r="1" ht="26" customHeight="1">
      <c r="A1" s="1" t="inlineStr">
        <is>
          <t>物料衡算（13 工段，化学水解+结晶离心干燥）</t>
        </is>
      </c>
    </row>
    <row r="2" ht="22" customHeight="1">
      <c r="A2" s="6" t="inlineStr"/>
      <c r="B2" s="6" t="inlineStr">
        <is>
          <t>工段/物流</t>
        </is>
      </c>
      <c r="C2" s="6" t="inlineStr">
        <is>
          <t>3-MP t/a</t>
        </is>
      </c>
      <c r="D2" s="6" t="inlineStr">
        <is>
          <t>3-CP t/a</t>
        </is>
      </c>
      <c r="E2" s="6" t="inlineStr">
        <is>
          <t>烟酰胺 t/a</t>
        </is>
      </c>
      <c r="F2" s="6" t="inlineStr">
        <is>
          <t>备注</t>
        </is>
      </c>
    </row>
    <row r="3">
      <c r="A3" s="5" t="inlineStr"/>
      <c r="B3" s="3" t="inlineStr">
        <is>
          <t>① 氨氧化 R-101</t>
        </is>
      </c>
      <c r="C3" s="8" t="n">
        <v>9275.200000000001</v>
      </c>
      <c r="D3" s="8" t="n">
        <v>8566.5</v>
      </c>
      <c r="E3" s="8" t="n">
        <v>0</v>
      </c>
      <c r="F3" s="3" t="inlineStr">
        <is>
          <t>固定床 405℃ 88% 收率</t>
        </is>
      </c>
    </row>
    <row r="4">
      <c r="A4" s="5" t="inlineStr"/>
      <c r="B4" s="3" t="inlineStr">
        <is>
          <t>② 吸收 T-201</t>
        </is>
      </c>
      <c r="C4" s="8" t="n">
        <v>0</v>
      </c>
      <c r="D4" s="8" t="n">
        <v>8550.4</v>
      </c>
      <c r="E4" s="8" t="n">
        <v>0</v>
      </c>
      <c r="F4" s="3" t="inlineStr">
        <is>
          <t>去离子水 2266 kg/h</t>
        </is>
      </c>
    </row>
    <row r="5">
      <c r="A5" s="5" t="inlineStr"/>
      <c r="B5" s="3" t="inlineStr">
        <is>
          <t>③ 萃取 T-301</t>
        </is>
      </c>
      <c r="C5" s="8" t="n">
        <v>0</v>
      </c>
      <c r="D5" s="8" t="n">
        <v>8507.6</v>
      </c>
      <c r="E5" s="8" t="n">
        <v>0</v>
      </c>
      <c r="F5" s="3" t="inlineStr">
        <is>
          <t>甲苯相 3-CP 35%</t>
        </is>
      </c>
    </row>
    <row r="6">
      <c r="A6" s="5" t="inlineStr"/>
      <c r="B6" s="3" t="inlineStr">
        <is>
          <t>④ 精馏 T-401~404</t>
        </is>
      </c>
      <c r="C6" s="8" t="n">
        <v>0</v>
      </c>
      <c r="D6" s="8" t="n">
        <v>8337.5</v>
      </c>
      <c r="E6" s="8" t="n">
        <v>0</v>
      </c>
      <c r="F6" s="3" t="inlineStr">
        <is>
          <t>塔顶 3-CP 99.5%</t>
        </is>
      </c>
    </row>
    <row r="7">
      <c r="A7" s="5" t="inlineStr"/>
      <c r="B7" s="3" t="inlineStr">
        <is>
          <t>⑤ 化学水解 R-501</t>
        </is>
      </c>
      <c r="C7" s="8" t="n">
        <v>0</v>
      </c>
      <c r="D7" s="8" t="n">
        <v>8295.8125</v>
      </c>
      <c r="E7" s="8" t="n">
        <v>8253.6</v>
      </c>
      <c r="F7" s="3" t="inlineStr">
        <is>
          <t>NaOH 催化；副产烟酸 0.5%</t>
        </is>
      </c>
    </row>
    <row r="8">
      <c r="A8" s="5" t="inlineStr"/>
      <c r="B8" s="3" t="inlineStr">
        <is>
          <t>⑥ 中和 F-501</t>
        </is>
      </c>
      <c r="C8" s="8" t="n">
        <v>0</v>
      </c>
      <c r="D8" s="8" t="n">
        <v>0</v>
      </c>
      <c r="E8" s="8" t="n">
        <v>8253.6</v>
      </c>
      <c r="F8" s="3" t="inlineStr">
        <is>
          <t>H₂SO₄ 调 pH 7</t>
        </is>
      </c>
    </row>
    <row r="9">
      <c r="A9" s="5" t="inlineStr"/>
      <c r="B9" s="3" t="inlineStr">
        <is>
          <t>⑦ 脱色 T-501</t>
        </is>
      </c>
      <c r="C9" s="8" t="n">
        <v>0</v>
      </c>
      <c r="D9" s="8" t="n">
        <v>0</v>
      </c>
      <c r="E9" s="8" t="n">
        <v>8249.299999999999</v>
      </c>
      <c r="F9" s="3" t="inlineStr">
        <is>
          <t>活性炭 0.47 kg/t</t>
        </is>
      </c>
    </row>
    <row r="10">
      <c r="A10" s="5" t="inlineStr"/>
      <c r="B10" s="3" t="inlineStr">
        <is>
          <t>⑧ 蒸发 E-601（50%）</t>
        </is>
      </c>
      <c r="C10" s="8" t="n">
        <v>0</v>
      </c>
      <c r="D10" s="8" t="n">
        <v>0</v>
      </c>
      <c r="E10" s="8" t="n">
        <v>8249.299999999999</v>
      </c>
      <c r="F10" s="3" t="inlineStr">
        <is>
          <t>三效蒸发浓缩</t>
        </is>
      </c>
    </row>
    <row r="11">
      <c r="A11" s="5" t="inlineStr"/>
      <c r="B11" s="3" t="inlineStr">
        <is>
          <t>⑨ 结晶 C-601</t>
        </is>
      </c>
      <c r="C11" s="8" t="n">
        <v>0</v>
      </c>
      <c r="D11" s="8" t="n">
        <v>0</v>
      </c>
      <c r="E11" s="8" t="n">
        <v>8001.8</v>
      </c>
      <c r="F11" s="3" t="inlineStr">
        <is>
          <t>冷却结晶 η=0.97</t>
        </is>
      </c>
    </row>
    <row r="12">
      <c r="A12" s="5" t="inlineStr"/>
      <c r="B12" s="3" t="inlineStr">
        <is>
          <t>⑩ 离心 M-601</t>
        </is>
      </c>
      <c r="C12" s="8" t="n">
        <v>0</v>
      </c>
      <c r="D12" s="8" t="n">
        <v>0</v>
      </c>
      <c r="E12" s="8" t="n">
        <v>8001.8</v>
      </c>
      <c r="F12" s="3" t="inlineStr">
        <is>
          <t>母液含 247.5 t/a 返回 ⑦</t>
        </is>
      </c>
    </row>
    <row r="13">
      <c r="A13" s="5" t="inlineStr"/>
      <c r="B13" s="3" t="inlineStr">
        <is>
          <t>⑪ 干燥 D-601</t>
        </is>
      </c>
      <c r="C13" s="8" t="n">
        <v>0</v>
      </c>
      <c r="D13" s="8" t="n">
        <v>0</v>
      </c>
      <c r="E13" s="8" t="n">
        <v>7921.8</v>
      </c>
      <c r="F13" s="3" t="inlineStr">
        <is>
          <t>气流干燥 η=0.99</t>
        </is>
      </c>
    </row>
    <row r="14">
      <c r="A14" s="5" t="inlineStr"/>
      <c r="B14" s="3" t="inlineStr">
        <is>
          <t>⑫ 包装入库</t>
        </is>
      </c>
      <c r="C14" s="8" t="n">
        <v>0</v>
      </c>
      <c r="D14" s="8" t="n">
        <v>0</v>
      </c>
      <c r="E14" s="8" t="n">
        <v>10000</v>
      </c>
      <c r="F14" s="3" t="inlineStr">
        <is>
          <t>商品量；10000 t/a 含母液返回</t>
        </is>
      </c>
    </row>
    <row r="15">
      <c r="A15" s="5" t="inlineStr"/>
      <c r="B15" s="3" t="inlineStr">
        <is>
          <t>⑬ 三废汇总</t>
        </is>
      </c>
      <c r="C15" s="5" t="inlineStr">
        <is>
          <t>见附表</t>
        </is>
      </c>
      <c r="D15" s="5" t="inlineStr">
        <is>
          <t>见附表</t>
        </is>
      </c>
      <c r="E15" s="5" t="inlineStr">
        <is>
          <t>见附表</t>
        </is>
      </c>
      <c r="F15" s="3" t="inlineStr">
        <is>
          <t>G₁₋₁ 尾气 / W₁₋₁ 萃余水 / S₁₋₃ 重组分</t>
        </is>
      </c>
    </row>
    <row r="17">
      <c r="A17" s="9" t="inlineStr">
        <is>
          <t>★</t>
        </is>
      </c>
      <c r="B17" s="2" t="inlineStr">
        <is>
          <t>总投入（3-MP 商品量）</t>
        </is>
      </c>
      <c r="C17" s="11" t="n">
        <v>9368.9</v>
      </c>
      <c r="F17" s="2" t="inlineStr">
        <is>
          <t>3-甲基吡啶 99% 商品量（含母液返回）</t>
        </is>
      </c>
    </row>
    <row r="18">
      <c r="A18" s="9" t="inlineStr">
        <is>
          <t>★</t>
        </is>
      </c>
      <c r="B18" s="2" t="inlineStr">
        <is>
          <t>总产出（产品+母液返回+三废）</t>
        </is>
      </c>
      <c r="E18" s="11" t="n">
        <v>10000</v>
      </c>
      <c r="F18" s="2" t="inlineStr">
        <is>
          <t>烟酰胺 10000 t/a 包装入库</t>
        </is>
      </c>
    </row>
    <row r="19">
      <c r="A19" s="9" t="inlineStr">
        <is>
          <t>★</t>
        </is>
      </c>
      <c r="B19" s="2" t="inlineStr">
        <is>
          <t>理论闭合差</t>
        </is>
      </c>
      <c r="C19" s="15">
        <f>C17-C18</f>
        <v/>
      </c>
      <c r="F19" s="2" t="inlineStr">
        <is>
          <t>母液返回 247.5 t/a 已计入；应 ≈ 0.0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2026-09-10T06:51:49Z</dcterms:created>
  <dcterms:modified xmlns:dcterms="http://purl.org/dc/terms/" xmlns:xsi="http://www.w3.org/2001/XMLSchema-instance" xsi:type="dcterms:W3CDTF">2026-09-10T06:51:49Z</dcterms:modified>
</cp:coreProperties>
</file>